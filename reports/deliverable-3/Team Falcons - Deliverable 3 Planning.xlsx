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D:\MSAI\Courses\8. CSCE 5430 - Software Engineering\Deliverable 3\"/>
    </mc:Choice>
  </mc:AlternateContent>
  <xr:revisionPtr revIDLastSave="0" documentId="13_ncr:1_{FFF26622-2012-4F45-8D89-3A0E6A1B1399}" xr6:coauthVersionLast="47" xr6:coauthVersionMax="47" xr10:uidLastSave="{00000000-0000-0000-0000-000000000000}"/>
  <bookViews>
    <workbookView xWindow="28680" yWindow="-120" windowWidth="29040" windowHeight="15720" tabRatio="500" activeTab="1" xr2:uid="{00000000-000D-0000-FFFF-FFFF00000000}"/>
  </bookViews>
  <sheets>
    <sheet name="Overview" sheetId="1" r:id="rId1"/>
    <sheet name="Rubric Checklist" sheetId="2" r:id="rId2"/>
    <sheet name="Work Assignment" sheetId="3" r:id="rId3"/>
  </sheets>
  <definedNames>
    <definedName name="_xlnm._FilterDatabase" localSheetId="1" hidden="1">'Rubric Checklist'!$A$1:$K$17</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24" i="2" l="1"/>
  <c r="C23" i="2"/>
  <c r="C22" i="2"/>
  <c r="C25" i="2" s="1"/>
  <c r="C21" i="2"/>
  <c r="G17" i="2"/>
</calcChain>
</file>

<file path=xl/sharedStrings.xml><?xml version="1.0" encoding="utf-8"?>
<sst xmlns="http://schemas.openxmlformats.org/spreadsheetml/2006/main" count="302" uniqueCount="152">
  <si>
    <t>Deliverable 3 — Project Phase 1</t>
  </si>
  <si>
    <t>Team Falcons  |  Lost and Found for Campus  |  CSCE 5430, Fall 2026</t>
  </si>
  <si>
    <t>Key Facts</t>
  </si>
  <si>
    <t>Due Date</t>
  </si>
  <si>
    <t>October 19, 2026, 11:59 PM</t>
  </si>
  <si>
    <t>Weight</t>
  </si>
  <si>
    <t>10% of final grade</t>
  </si>
  <si>
    <t>Late Policy</t>
  </si>
  <si>
    <t>20% deduction per day</t>
  </si>
  <si>
    <t>Code Submission</t>
  </si>
  <si>
    <t>GitHub — source code checked into the designated Phase 1 source code directory</t>
  </si>
  <si>
    <t>Report Submission</t>
  </si>
  <si>
    <t>GitHub &amp; Canvas — one document (e.g., Deliverable-3.pdf/.docx), 11pt, single space, 6-10 pages</t>
  </si>
  <si>
    <t>Core Functionalities File</t>
  </si>
  <si>
    <t>GitHub &amp; Canvas — single document containing source code for core functionalities + descriptions (file inspection copy). Page limit 10-15 pages, 35-45 LOC/page, 10-11pt, single column. File name: "inspection-code-team-name". Place at top level of repository.</t>
  </si>
  <si>
    <t>Note File</t>
  </si>
  <si>
    <t>"Note-deliverable-3" — top-level plain text file listing names/locations of all files submitted for this deliverable.</t>
  </si>
  <si>
    <t>Meeting Minutes</t>
  </si>
  <si>
    <t>Updated meeting minutes go in the project repository only — do NOT include them in the report itself.</t>
  </si>
  <si>
    <t>Document Formats Allowed</t>
  </si>
  <si>
    <t>MS Word (.docx) or Adobe Acrobat (.pdf). Any other format requires instructor approval.</t>
  </si>
  <si>
    <t>Group Grading Policy</t>
  </si>
  <si>
    <t>All team members normally receive the same grade; individual grade adjustments possible for non-participation.</t>
  </si>
  <si>
    <t>Total Rubric Points</t>
  </si>
  <si>
    <t>100 points (see 'Rubric Checklist' tab for the full breakdown)</t>
  </si>
  <si>
    <t>What's New / Changed vs. Deliverable 2</t>
  </si>
  <si>
    <t>•</t>
  </si>
  <si>
    <t>First implementation phase: a real working program is now due, not just design docs.</t>
  </si>
  <si>
    <t>UML design package required: Class diagram, Sequence diagram, and a Use Case diagram (must show at least one normal-path case and one error case).</t>
  </si>
  <si>
    <t>If AI tools were used for any coding, the report must explicitly disclose: which parts were AI-generated vs. hand-written, prompts/iterations/validation steps used, and an AI Usage Report (tools used, tasks, example prompts, mistakes/hallucinations produced, and how they were fixed). Mark as "N/A" if no AI was used for coding.</t>
  </si>
  <si>
    <t>Unit test cases must be listed with descriptions (functionality tested, inputs/outputs).</t>
  </si>
  <si>
    <t>A user manual (install/use instructions, screenshots welcome) is required for end users.</t>
  </si>
  <si>
    <t>Compilation/run instructions are required for both the program and its test cases — program must actually compile and run.</t>
  </si>
  <si>
    <t>Peer review feedback section: summarize feedback received and what the team did about it.</t>
  </si>
  <si>
    <t>A brief reflection: what was accomplished, what went well, what could improve.</t>
  </si>
  <si>
    <t>A separate 'core functionalities' code-inspection document is required at the top level of the repo.</t>
  </si>
  <si>
    <t>#</t>
  </si>
  <si>
    <t>Category</t>
  </si>
  <si>
    <t>Deliverable Item</t>
  </si>
  <si>
    <t>Detailed Requirement (from assignment instructions)</t>
  </si>
  <si>
    <t>What Earns Full Credit (rubric)</t>
  </si>
  <si>
    <t>Full-Credit Points</t>
  </si>
  <si>
    <t>Suggested Owner</t>
  </si>
  <si>
    <t>Assigned Owner</t>
  </si>
  <si>
    <t>Status</t>
  </si>
  <si>
    <t>Notes</t>
  </si>
  <si>
    <t>Report</t>
  </si>
  <si>
    <t>Requirements (Phase 1)</t>
  </si>
  <si>
    <t>List requirements designated for Phase 1. If scope is unchanged since Deliverable 2, reuse the same Phase 1 requirements but add more detailed descriptions. If scope changed, explain why and describe the updated plan, including the modified requirement set for ALL phases (with full detail for Phase 1).</t>
  </si>
  <si>
    <t>Requirements are complete and either match Deliverable 2 (with more detail) or include a clear explanation of any change.</t>
  </si>
  <si>
    <t>Waleed Mirza</t>
  </si>
  <si>
    <t>Not Started</t>
  </si>
  <si>
    <t>UML Design Package</t>
  </si>
  <si>
    <t>Must include: (1) Class diagram, (2) Sequence diagram, (3) Use Case diagram with at least one normal-path case and one error case.</t>
  </si>
  <si>
    <t>All three diagrams exist to sufficient detail.</t>
  </si>
  <si>
    <t>Sathvika Potluri</t>
  </si>
  <si>
    <t>In Progress</t>
  </si>
  <si>
    <t>Needs to be reviewed/revised.</t>
  </si>
  <si>
    <t>Coding / AI Usage Disclosure</t>
  </si>
  <si>
    <t>If AI was used for any coding: explicitly state which parts were AI-generated vs. self-written, describe prompts/iterations/validation steps, and include an AI Usage Report covering: tools used, tasks, example prompts, mistakes/hallucinations produced, and how they were fixed. Mark "N/A" if no AI was used.</t>
  </si>
  <si>
    <t>If AI was used, clearly identifies AI-generated vs. self-written code and provides all required info: tools used, tasks, example prompts, iterations/validation steps, AI mistakes/hallucinations, and how they were fixed. If AI was not used, section clearly states "N/A" (or otherwise clearly states AI was not used for coding).</t>
  </si>
  <si>
    <t>Test Cases (Unit Tests)</t>
  </si>
  <si>
    <t>List the test cases used to test the working program, with descriptions of what functionality each tests and their inputs/outputs.</t>
  </si>
  <si>
    <t>All test cases listed with full descriptions.</t>
  </si>
  <si>
    <t>Asritha Thati</t>
  </si>
  <si>
    <t>Asritha will revise the document.</t>
  </si>
  <si>
    <t>User Manual</t>
  </si>
  <si>
    <t>End-user facing manual explaining how to install and use the program. Screenshots encouraged where helpful.</t>
  </si>
  <si>
    <t>User manual exists, is complete, and sufficiently explained.</t>
  </si>
  <si>
    <t xml:space="preserve">Sathvika is working on it. </t>
  </si>
  <si>
    <t>Compilation / Run Instructions</t>
  </si>
  <si>
    <t>Clear instructions on how to compile/run both the program and its test cases. The program must actually compile and run.</t>
  </si>
  <si>
    <t>Instructions are complete and sufficiently explained.</t>
  </si>
  <si>
    <t>Anirudh Mamidi</t>
  </si>
  <si>
    <t>Peer Review Feedback</t>
  </si>
  <si>
    <t>Brief section describing feedback received during the peer review session (with Team Medley) and the actions taken in response.</t>
  </si>
  <si>
    <t>Feedback exists and the concerns raised were addressed.</t>
  </si>
  <si>
    <t>Reflection</t>
  </si>
  <si>
    <t>Brief reflection on what has been accomplished, what went well, and what could be improved.</t>
  </si>
  <si>
    <t>Reflection exists and is complete (covers accomplishments, what went well, and what could improve).</t>
  </si>
  <si>
    <t>Member Contribution Table</t>
  </si>
  <si>
    <t>Table describing who wrote which components/classes of the system and which parts of the report. Add rows as needed.</t>
  </si>
  <si>
    <t>Table is complete for all team members.</t>
  </si>
  <si>
    <t>Repository</t>
  </si>
  <si>
    <t>Updated Meeting Minutes</t>
  </si>
  <si>
    <t>Meeting minutes updated since Deliverable 2. Goes in the project repository only — do NOT include in the report.</t>
  </si>
  <si>
    <t>Meeting minutes have been updated in the repo.</t>
  </si>
  <si>
    <t>Note-deliverable-3 File</t>
  </si>
  <si>
    <t>Top-level plain text file naming the deliverable files submitted and their locations in the repo.</t>
  </si>
  <si>
    <t>File is complete and accurate.</t>
  </si>
  <si>
    <t>Code</t>
  </si>
  <si>
    <t>Code Compiles and Runs</t>
  </si>
  <si>
    <t>Working program based on the Phase 1 requirements from Deliverable 2, checked into the designated Phase 1 source code directory in the repo.</t>
  </si>
  <si>
    <t>Code compiles and runs without significant issues (no crashes, at most minor errors).</t>
  </si>
  <si>
    <t>Code Functionalities Match Report</t>
  </si>
  <si>
    <t>Implemented functionality should match what's described in the report, produce correct outcomes, have modules that interact cleanly, avoid brittle dependence on external library versions, and be readable (clear blocks, comments, descriptive names) where possible.</t>
  </si>
  <si>
    <t>All functionalities work without significant issues and match the report exactly.</t>
  </si>
  <si>
    <t>Anirudh Mamidi / Asritha Thati</t>
  </si>
  <si>
    <t>Code in Correct Repository Folder</t>
  </si>
  <si>
    <t>Source code must be placed in the designated Phase 1 source code directory of the GitHub repository.</t>
  </si>
  <si>
    <t>Code is in the correct source code folder (not root, not elsewhere).</t>
  </si>
  <si>
    <t>Core Functionalities Document</t>
  </si>
  <si>
    <t>Single document containing the source code for core Phase 1 functionalities plus descriptions, for code inspection. Page limit 10-15 pages, 35-45 LOC/page, 10-11pt font, single column. File name: "inspection-code-team-name", placed at the top level of the repository.</t>
  </si>
  <si>
    <t>Document exists and is complete per the formatting spec.</t>
  </si>
  <si>
    <t>TOTAL</t>
  </si>
  <si>
    <t>Rubric Points by Assigned Owner (fill in column H, 'Assigned Owner', to update)</t>
  </si>
  <si>
    <t>Team Member</t>
  </si>
  <si>
    <t>Assigned Points</t>
  </si>
  <si>
    <t>Unassigned</t>
  </si>
  <si>
    <t>Rubric updated (reflected here): "Coding / AI Usage Disclosure" is now its own scored rubric line (3 pts). "Code Functionalities Match Report" full-credit value dropped from 28 to 25 pts to keep the 100-pt total unchanged.</t>
  </si>
  <si>
    <t>Workstream</t>
  </si>
  <si>
    <t>Task</t>
  </si>
  <si>
    <t>Linked Rubric Item(s)</t>
  </si>
  <si>
    <t>Target Date</t>
  </si>
  <si>
    <t>Requirements</t>
  </si>
  <si>
    <t>Write detailed Phase 1 requirements section (carry forward Deliverable 2 reqs, add detail)</t>
  </si>
  <si>
    <t>Decide &amp; document whether Phase 1 scope changed since Deliverable 2; write justification if so</t>
  </si>
  <si>
    <t>Design (UML)</t>
  </si>
  <si>
    <t>Draft Class Diagram for Phase 1 system</t>
  </si>
  <si>
    <t>Draft Sequence Diagram for Phase 1 core workflow</t>
  </si>
  <si>
    <t>Draft Use Case Diagram (1 normal case + 1 error case)</t>
  </si>
  <si>
    <t>Backend</t>
  </si>
  <si>
    <t>Implement Node.js/Express API: auth, listing CRUD endpoints</t>
  </si>
  <si>
    <t>Code Compiles and Runs; Code Functionalities Match Report</t>
  </si>
  <si>
    <t>Implement MongoDB Atlas schema for listings/users</t>
  </si>
  <si>
    <t>Begin matching engine + notification service (Phase 1 scope)</t>
  </si>
  <si>
    <t>Set up/confirm Phase 1 source code directory structure &amp; configuration management</t>
  </si>
  <si>
    <t>Frontend</t>
  </si>
  <si>
    <t>Implement React listings UI (post/search/filter)</t>
  </si>
  <si>
    <t>Implement auth UI (login/register) and role-based view stubs</t>
  </si>
  <si>
    <t>Testing</t>
  </si>
  <si>
    <t>Write unit tests for backend API endpoints</t>
  </si>
  <si>
    <t>Write unit tests for frontend components</t>
  </si>
  <si>
    <t>Document test case descriptions (functionality, inputs/outputs) for report</t>
  </si>
  <si>
    <t>Documentation</t>
  </si>
  <si>
    <t>Write user manual (install/use instructions + screenshots)</t>
  </si>
  <si>
    <t>Write compile/run instructions for program and tests</t>
  </si>
  <si>
    <t>Update meeting minutes in repo since Deliverable 2</t>
  </si>
  <si>
    <t>AI Usage</t>
  </si>
  <si>
    <t>Track AI tool usage (tools, tasks, prompts, mistakes, fixes) as coding happens</t>
  </si>
  <si>
    <t>Peer Review</t>
  </si>
  <si>
    <t>Compile peer review feedback from Team Medley session + actions taken</t>
  </si>
  <si>
    <t>Wrap-up</t>
  </si>
  <si>
    <t>Write reflection section</t>
  </si>
  <si>
    <t>Compile member contribution table</t>
  </si>
  <si>
    <t>Assemble core-functionalities code inspection document (inspection-code-team-name)</t>
  </si>
  <si>
    <t>Team</t>
  </si>
  <si>
    <t>Create Note-deliverable-3 file</t>
  </si>
  <si>
    <t>Final report formatting, proofreading, and merge into single Word/PDF document</t>
  </si>
  <si>
    <t>All report sections</t>
  </si>
  <si>
    <t>Status from Waleed</t>
  </si>
  <si>
    <t>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</si>
</sst>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
    </font>
    <font>
      <b/>
      <sz val="16"/>
      <color rgb="FF1F3B57"/>
      <name val="Arial"/>
      <charset val="1"/>
    </font>
    <font>
      <i/>
      <sz val="11"/>
      <color rgb="FF555555"/>
      <name val="Arial"/>
      <charset val="1"/>
    </font>
    <font>
      <b/>
      <sz val="12"/>
      <color rgb="FFFFFFFF"/>
      <name val="Arial"/>
      <charset val="1"/>
    </font>
    <font>
      <b/>
      <sz val="10"/>
      <name val="Arial"/>
      <charset val="1"/>
    </font>
    <font>
      <sz val="10"/>
      <name val="Arial"/>
      <charset val="1"/>
    </font>
    <font>
      <b/>
      <sz val="11"/>
      <color rgb="FFFFFFFF"/>
      <name val="Arial"/>
      <charset val="1"/>
    </font>
    <font>
      <i/>
      <sz val="9"/>
      <color rgb="FF777777"/>
      <name val="Arial"/>
      <charset val="1"/>
    </font>
    <font>
      <b/>
      <sz val="10"/>
      <color theme="0"/>
      <name val="Arial"/>
      <family val="2"/>
    </font>
  </fonts>
  <fills count="9">
    <fill>
      <patternFill patternType="none"/>
    </fill>
    <fill>
      <patternFill patternType="gray125"/>
    </fill>
    <fill>
      <patternFill patternType="solid">
        <fgColor rgb="FFC9A227"/>
        <bgColor rgb="FF99CC00"/>
      </patternFill>
    </fill>
    <fill>
      <patternFill patternType="solid">
        <fgColor rgb="FF1F3B57"/>
        <bgColor rgb="FF003366"/>
      </patternFill>
    </fill>
    <fill>
      <patternFill patternType="solid">
        <fgColor rgb="FFF2F2F2"/>
        <bgColor rgb="FFE7F2E9"/>
      </patternFill>
    </fill>
    <fill>
      <patternFill patternType="solid">
        <fgColor theme="6" tint="0.79989013336588644"/>
        <bgColor rgb="FFE7F2E9"/>
      </patternFill>
    </fill>
    <fill>
      <patternFill patternType="solid">
        <fgColor rgb="FFFFFF00"/>
        <bgColor rgb="FFFFFF00"/>
      </patternFill>
    </fill>
    <fill>
      <patternFill patternType="solid">
        <fgColor rgb="FFE7F2E9"/>
        <bgColor rgb="FFEBF1DE"/>
      </patternFill>
    </fill>
    <fill>
      <patternFill patternType="solid">
        <fgColor rgb="FF00B050"/>
        <bgColor rgb="FFE7F2E9"/>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6">
    <xf numFmtId="0" fontId="0" fillId="0" borderId="0" xfId="0"/>
    <xf numFmtId="0" fontId="1" fillId="0" borderId="0" xfId="0" applyFont="1"/>
    <xf numFmtId="0" fontId="2" fillId="0" borderId="0" xfId="0" applyFont="1"/>
    <xf numFmtId="0" fontId="4" fillId="0" borderId="1" xfId="0" applyFont="1" applyBorder="1" applyAlignment="1">
      <alignment horizontal="left" vertical="top" wrapText="1"/>
    </xf>
    <xf numFmtId="0" fontId="5" fillId="0" borderId="1" xfId="0" applyFont="1" applyBorder="1" applyAlignment="1">
      <alignment horizontal="left" vertical="top" wrapText="1"/>
    </xf>
    <xf numFmtId="0" fontId="5" fillId="0" borderId="0" xfId="0" applyFont="1"/>
    <xf numFmtId="0" fontId="5" fillId="0" borderId="0" xfId="0" applyFont="1" applyAlignment="1">
      <alignment horizontal="left" vertical="top" wrapText="1"/>
    </xf>
    <xf numFmtId="0" fontId="0" fillId="0" borderId="0" xfId="0" applyAlignment="1">
      <alignment horizontal="center" vertical="center"/>
    </xf>
    <xf numFmtId="0" fontId="6" fillId="3"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4"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5" fillId="5"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6" borderId="1" xfId="0" applyFont="1" applyFill="1" applyBorder="1" applyAlignment="1">
      <alignment horizontal="center" vertical="center" wrapText="1"/>
    </xf>
    <xf numFmtId="0" fontId="4" fillId="0" borderId="1" xfId="0" applyFont="1" applyBorder="1"/>
    <xf numFmtId="0" fontId="4" fillId="0" borderId="0" xfId="0" applyFont="1"/>
    <xf numFmtId="0" fontId="5" fillId="0" borderId="1" xfId="0" applyFont="1" applyBorder="1"/>
    <xf numFmtId="0" fontId="5" fillId="7" borderId="1" xfId="0" applyFont="1" applyFill="1" applyBorder="1" applyAlignment="1">
      <alignment horizontal="center" vertical="center" wrapText="1"/>
    </xf>
    <xf numFmtId="0" fontId="4" fillId="7" borderId="1" xfId="0" applyFont="1" applyFill="1" applyBorder="1" applyAlignment="1">
      <alignment horizontal="left" vertical="top" wrapText="1"/>
    </xf>
    <xf numFmtId="0" fontId="5" fillId="7" borderId="1" xfId="0" applyFont="1" applyFill="1" applyBorder="1" applyAlignment="1">
      <alignment horizontal="left" vertical="top" wrapText="1"/>
    </xf>
    <xf numFmtId="0" fontId="4" fillId="0" borderId="0" xfId="0" applyFont="1" applyAlignment="1">
      <alignment horizontal="center" vertical="center"/>
    </xf>
    <xf numFmtId="0" fontId="5" fillId="0" borderId="0" xfId="0" applyFont="1" applyAlignment="1">
      <alignment horizontal="center" vertical="center"/>
    </xf>
    <xf numFmtId="0" fontId="8" fillId="8" borderId="1" xfId="0" applyFont="1" applyFill="1" applyBorder="1" applyAlignment="1">
      <alignment horizontal="center" vertical="center" wrapText="1"/>
    </xf>
    <xf numFmtId="0" fontId="3" fillId="2" borderId="0" xfId="0" applyFont="1" applyFill="1"/>
    <xf numFmtId="0" fontId="7"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777777"/>
      <rgbColor rgb="FF9999FF"/>
      <rgbColor rgb="FF993366"/>
      <rgbColor rgb="FFEBF1DE"/>
      <rgbColor rgb="FFE7F2E9"/>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CCFFCC"/>
      <rgbColor rgb="FFFFFF99"/>
      <rgbColor rgb="FF99CCFF"/>
      <rgbColor rgb="FFFF99CC"/>
      <rgbColor rgb="FFCC99FF"/>
      <rgbColor rgb="FFFFCC99"/>
      <rgbColor rgb="FF3366FF"/>
      <rgbColor rgb="FF33CCCC"/>
      <rgbColor rgb="FF99CC00"/>
      <rgbColor rgb="FFFFCC00"/>
      <rgbColor rgb="FFC9A227"/>
      <rgbColor rgb="FFFF6600"/>
      <rgbColor rgb="FF555555"/>
      <rgbColor rgb="FF969696"/>
      <rgbColor rgb="FF003366"/>
      <rgbColor rgb="FF339966"/>
      <rgbColor rgb="FF003300"/>
      <rgbColor rgb="FF333300"/>
      <rgbColor rgb="FF993300"/>
      <rgbColor rgb="FF993366"/>
      <rgbColor rgb="FF333399"/>
      <rgbColor rgb="FF1F3B5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27"/>
  <sheetViews>
    <sheetView showGridLines="0" zoomScaleNormal="100" workbookViewId="0">
      <pane ySplit="4" topLeftCell="A5" activePane="bottomLeft" state="frozen"/>
      <selection pane="bottomLeft"/>
    </sheetView>
  </sheetViews>
  <sheetFormatPr defaultColWidth="8.7109375" defaultRowHeight="15" x14ac:dyDescent="0.25"/>
  <cols>
    <col min="1" max="1" width="3" customWidth="1"/>
    <col min="2" max="2" width="26" customWidth="1"/>
    <col min="3" max="3" width="100" customWidth="1"/>
  </cols>
  <sheetData>
    <row r="2" spans="2:3" ht="20.25" customHeight="1" x14ac:dyDescent="0.3">
      <c r="B2" s="1" t="s">
        <v>0</v>
      </c>
    </row>
    <row r="3" spans="2:3" x14ac:dyDescent="0.25">
      <c r="B3" s="2" t="s">
        <v>1</v>
      </c>
    </row>
    <row r="5" spans="2:3" ht="15.75" customHeight="1" x14ac:dyDescent="0.25">
      <c r="B5" s="24" t="s">
        <v>2</v>
      </c>
      <c r="C5" s="24"/>
    </row>
    <row r="6" spans="2:3" x14ac:dyDescent="0.25">
      <c r="B6" s="3" t="s">
        <v>3</v>
      </c>
      <c r="C6" s="4" t="s">
        <v>4</v>
      </c>
    </row>
    <row r="7" spans="2:3" x14ac:dyDescent="0.25">
      <c r="B7" s="3" t="s">
        <v>5</v>
      </c>
      <c r="C7" s="4" t="s">
        <v>6</v>
      </c>
    </row>
    <row r="8" spans="2:3" x14ac:dyDescent="0.25">
      <c r="B8" s="3" t="s">
        <v>7</v>
      </c>
      <c r="C8" s="4" t="s">
        <v>8</v>
      </c>
    </row>
    <row r="9" spans="2:3" x14ac:dyDescent="0.25">
      <c r="B9" s="3" t="s">
        <v>9</v>
      </c>
      <c r="C9" s="4" t="s">
        <v>10</v>
      </c>
    </row>
    <row r="10" spans="2:3" x14ac:dyDescent="0.25">
      <c r="B10" s="3" t="s">
        <v>11</v>
      </c>
      <c r="C10" s="4" t="s">
        <v>12</v>
      </c>
    </row>
    <row r="11" spans="2:3" ht="38.25" customHeight="1" x14ac:dyDescent="0.25">
      <c r="B11" s="3" t="s">
        <v>13</v>
      </c>
      <c r="C11" s="4" t="s">
        <v>14</v>
      </c>
    </row>
    <row r="12" spans="2:3" x14ac:dyDescent="0.25">
      <c r="B12" s="3" t="s">
        <v>15</v>
      </c>
      <c r="C12" s="4" t="s">
        <v>16</v>
      </c>
    </row>
    <row r="13" spans="2:3" x14ac:dyDescent="0.25">
      <c r="B13" s="3" t="s">
        <v>17</v>
      </c>
      <c r="C13" s="4" t="s">
        <v>18</v>
      </c>
    </row>
    <row r="14" spans="2:3" ht="25.5" customHeight="1" x14ac:dyDescent="0.25">
      <c r="B14" s="3" t="s">
        <v>19</v>
      </c>
      <c r="C14" s="4" t="s">
        <v>20</v>
      </c>
    </row>
    <row r="15" spans="2:3" x14ac:dyDescent="0.25">
      <c r="B15" s="3" t="s">
        <v>21</v>
      </c>
      <c r="C15" s="4" t="s">
        <v>22</v>
      </c>
    </row>
    <row r="16" spans="2:3" x14ac:dyDescent="0.25">
      <c r="B16" s="3" t="s">
        <v>23</v>
      </c>
      <c r="C16" s="4" t="s">
        <v>24</v>
      </c>
    </row>
    <row r="18" spans="2:3" ht="15.75" customHeight="1" x14ac:dyDescent="0.25">
      <c r="B18" s="24" t="s">
        <v>25</v>
      </c>
      <c r="C18" s="24"/>
    </row>
    <row r="19" spans="2:3" x14ac:dyDescent="0.25">
      <c r="B19" s="5" t="s">
        <v>26</v>
      </c>
      <c r="C19" s="6" t="s">
        <v>27</v>
      </c>
    </row>
    <row r="20" spans="2:3" ht="25.5" customHeight="1" x14ac:dyDescent="0.25">
      <c r="B20" s="5" t="s">
        <v>26</v>
      </c>
      <c r="C20" s="6" t="s">
        <v>28</v>
      </c>
    </row>
    <row r="21" spans="2:3" ht="38.25" customHeight="1" x14ac:dyDescent="0.25">
      <c r="B21" s="5" t="s">
        <v>26</v>
      </c>
      <c r="C21" s="6" t="s">
        <v>29</v>
      </c>
    </row>
    <row r="22" spans="2:3" x14ac:dyDescent="0.25">
      <c r="B22" s="5" t="s">
        <v>26</v>
      </c>
      <c r="C22" s="6" t="s">
        <v>30</v>
      </c>
    </row>
    <row r="23" spans="2:3" x14ac:dyDescent="0.25">
      <c r="B23" s="5" t="s">
        <v>26</v>
      </c>
      <c r="C23" s="6" t="s">
        <v>31</v>
      </c>
    </row>
    <row r="24" spans="2:3" ht="25.5" customHeight="1" x14ac:dyDescent="0.25">
      <c r="B24" s="5" t="s">
        <v>26</v>
      </c>
      <c r="C24" s="6" t="s">
        <v>32</v>
      </c>
    </row>
    <row r="25" spans="2:3" x14ac:dyDescent="0.25">
      <c r="B25" s="5" t="s">
        <v>26</v>
      </c>
      <c r="C25" s="6" t="s">
        <v>33</v>
      </c>
    </row>
    <row r="26" spans="2:3" x14ac:dyDescent="0.25">
      <c r="B26" s="5" t="s">
        <v>26</v>
      </c>
      <c r="C26" s="6" t="s">
        <v>34</v>
      </c>
    </row>
    <row r="27" spans="2:3" x14ac:dyDescent="0.25">
      <c r="B27" s="5" t="s">
        <v>26</v>
      </c>
      <c r="C27" s="6" t="s">
        <v>35</v>
      </c>
    </row>
  </sheetData>
  <mergeCells count="2">
    <mergeCell ref="B5:C5"/>
    <mergeCell ref="B18:C18"/>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7"/>
  <sheetViews>
    <sheetView showGridLines="0" tabSelected="1" zoomScale="115" zoomScaleNormal="115" workbookViewId="0">
      <pane ySplit="1" topLeftCell="A13" activePane="bottomLeft" state="frozen"/>
      <selection pane="bottomLeft" activeCell="D13" sqref="D13"/>
    </sheetView>
  </sheetViews>
  <sheetFormatPr defaultColWidth="8.7109375" defaultRowHeight="15" x14ac:dyDescent="0.25"/>
  <cols>
    <col min="1" max="1" width="4" customWidth="1"/>
    <col min="2" max="2" width="15.28515625" customWidth="1"/>
    <col min="3" max="3" width="26" customWidth="1"/>
    <col min="4" max="4" width="14.5703125" style="7" customWidth="1"/>
    <col min="5" max="5" width="55" customWidth="1"/>
    <col min="6" max="6" width="45" customWidth="1"/>
    <col min="7" max="7" width="12" customWidth="1"/>
    <col min="8" max="8" width="20" style="7" customWidth="1"/>
    <col min="9" max="9" width="20" customWidth="1"/>
    <col min="10" max="10" width="14" customWidth="1"/>
    <col min="11" max="11" width="28" customWidth="1"/>
  </cols>
  <sheetData>
    <row r="1" spans="1:11" ht="30" customHeight="1" x14ac:dyDescent="0.25">
      <c r="A1" s="8" t="s">
        <v>36</v>
      </c>
      <c r="B1" s="8" t="s">
        <v>37</v>
      </c>
      <c r="C1" s="8" t="s">
        <v>38</v>
      </c>
      <c r="D1" s="8" t="s">
        <v>150</v>
      </c>
      <c r="E1" s="8" t="s">
        <v>39</v>
      </c>
      <c r="F1" s="8" t="s">
        <v>40</v>
      </c>
      <c r="G1" s="8" t="s">
        <v>41</v>
      </c>
      <c r="H1" s="8" t="s">
        <v>42</v>
      </c>
      <c r="I1" s="8" t="s">
        <v>43</v>
      </c>
      <c r="J1" s="8" t="s">
        <v>44</v>
      </c>
      <c r="K1" s="8" t="s">
        <v>45</v>
      </c>
    </row>
    <row r="2" spans="1:11" ht="76.5" customHeight="1" x14ac:dyDescent="0.25">
      <c r="A2" s="9">
        <v>1</v>
      </c>
      <c r="B2" s="10" t="s">
        <v>46</v>
      </c>
      <c r="C2" s="11" t="s">
        <v>47</v>
      </c>
      <c r="D2" s="23" t="s">
        <v>151</v>
      </c>
      <c r="E2" s="10" t="s">
        <v>48</v>
      </c>
      <c r="F2" s="10" t="s">
        <v>49</v>
      </c>
      <c r="G2" s="9">
        <v>10</v>
      </c>
      <c r="H2" s="12" t="s">
        <v>50</v>
      </c>
      <c r="I2" s="10"/>
      <c r="J2" s="9" t="s">
        <v>51</v>
      </c>
      <c r="K2" s="10"/>
    </row>
    <row r="3" spans="1:11" ht="38.25" customHeight="1" x14ac:dyDescent="0.25">
      <c r="A3" s="13">
        <v>2</v>
      </c>
      <c r="B3" s="4" t="s">
        <v>46</v>
      </c>
      <c r="C3" s="3" t="s">
        <v>52</v>
      </c>
      <c r="D3" s="23" t="s">
        <v>151</v>
      </c>
      <c r="E3" s="4" t="s">
        <v>53</v>
      </c>
      <c r="F3" s="4" t="s">
        <v>54</v>
      </c>
      <c r="G3" s="13">
        <v>7</v>
      </c>
      <c r="H3" s="12" t="s">
        <v>55</v>
      </c>
      <c r="I3" s="4"/>
      <c r="J3" s="13" t="s">
        <v>56</v>
      </c>
      <c r="K3" s="4" t="s">
        <v>57</v>
      </c>
    </row>
    <row r="4" spans="1:11" ht="76.5" customHeight="1" x14ac:dyDescent="0.25">
      <c r="A4" s="9">
        <v>3</v>
      </c>
      <c r="B4" s="10" t="s">
        <v>46</v>
      </c>
      <c r="C4" s="11" t="s">
        <v>58</v>
      </c>
      <c r="D4" s="23" t="s">
        <v>151</v>
      </c>
      <c r="E4" s="10" t="s">
        <v>59</v>
      </c>
      <c r="F4" s="10" t="s">
        <v>60</v>
      </c>
      <c r="G4" s="9">
        <v>3</v>
      </c>
      <c r="H4" s="12" t="s">
        <v>50</v>
      </c>
      <c r="I4" s="10"/>
      <c r="J4" s="9" t="s">
        <v>51</v>
      </c>
      <c r="K4" s="10"/>
    </row>
    <row r="5" spans="1:11" ht="38.25" customHeight="1" x14ac:dyDescent="0.25">
      <c r="A5" s="13">
        <v>4</v>
      </c>
      <c r="B5" s="4" t="s">
        <v>46</v>
      </c>
      <c r="C5" s="3" t="s">
        <v>61</v>
      </c>
      <c r="D5" s="23" t="s">
        <v>151</v>
      </c>
      <c r="E5" s="4" t="s">
        <v>62</v>
      </c>
      <c r="F5" s="4" t="s">
        <v>63</v>
      </c>
      <c r="G5" s="13">
        <v>7</v>
      </c>
      <c r="H5" s="12" t="s">
        <v>64</v>
      </c>
      <c r="I5" s="4"/>
      <c r="J5" s="13" t="s">
        <v>56</v>
      </c>
      <c r="K5" s="4" t="s">
        <v>65</v>
      </c>
    </row>
    <row r="6" spans="1:11" ht="25.5" customHeight="1" x14ac:dyDescent="0.25">
      <c r="A6" s="9">
        <v>5</v>
      </c>
      <c r="B6" s="10" t="s">
        <v>46</v>
      </c>
      <c r="C6" s="11" t="s">
        <v>66</v>
      </c>
      <c r="D6" s="23" t="s">
        <v>151</v>
      </c>
      <c r="E6" s="10" t="s">
        <v>67</v>
      </c>
      <c r="F6" s="10" t="s">
        <v>68</v>
      </c>
      <c r="G6" s="9">
        <v>4</v>
      </c>
      <c r="H6" s="12" t="s">
        <v>55</v>
      </c>
      <c r="I6" s="10"/>
      <c r="J6" s="9" t="s">
        <v>56</v>
      </c>
      <c r="K6" s="10" t="s">
        <v>69</v>
      </c>
    </row>
    <row r="7" spans="1:11" ht="25.5" customHeight="1" x14ac:dyDescent="0.25">
      <c r="A7" s="13">
        <v>6</v>
      </c>
      <c r="B7" s="4" t="s">
        <v>46</v>
      </c>
      <c r="C7" s="3" t="s">
        <v>70</v>
      </c>
      <c r="D7" s="23" t="s">
        <v>151</v>
      </c>
      <c r="E7" s="4" t="s">
        <v>71</v>
      </c>
      <c r="F7" s="4" t="s">
        <v>72</v>
      </c>
      <c r="G7" s="13">
        <v>4</v>
      </c>
      <c r="H7" s="14" t="s">
        <v>73</v>
      </c>
      <c r="I7" s="4"/>
      <c r="J7" s="13" t="s">
        <v>51</v>
      </c>
      <c r="K7" s="4"/>
    </row>
    <row r="8" spans="1:11" ht="38.25" customHeight="1" x14ac:dyDescent="0.25">
      <c r="A8" s="9">
        <v>7</v>
      </c>
      <c r="B8" s="10" t="s">
        <v>46</v>
      </c>
      <c r="C8" s="11" t="s">
        <v>74</v>
      </c>
      <c r="D8" s="23" t="s">
        <v>151</v>
      </c>
      <c r="E8" s="10" t="s">
        <v>75</v>
      </c>
      <c r="F8" s="10" t="s">
        <v>76</v>
      </c>
      <c r="G8" s="9">
        <v>5</v>
      </c>
      <c r="H8" s="12" t="s">
        <v>50</v>
      </c>
      <c r="I8" s="10"/>
      <c r="J8" s="9" t="s">
        <v>51</v>
      </c>
      <c r="K8" s="10"/>
    </row>
    <row r="9" spans="1:11" ht="38.25" customHeight="1" x14ac:dyDescent="0.25">
      <c r="A9" s="13">
        <v>8</v>
      </c>
      <c r="B9" s="4" t="s">
        <v>46</v>
      </c>
      <c r="C9" s="3" t="s">
        <v>77</v>
      </c>
      <c r="D9" s="23" t="s">
        <v>151</v>
      </c>
      <c r="E9" s="4" t="s">
        <v>78</v>
      </c>
      <c r="F9" s="4" t="s">
        <v>79</v>
      </c>
      <c r="G9" s="13">
        <v>3</v>
      </c>
      <c r="H9" s="12" t="s">
        <v>50</v>
      </c>
      <c r="I9" s="4"/>
      <c r="J9" s="13" t="s">
        <v>51</v>
      </c>
      <c r="K9" s="4"/>
    </row>
    <row r="10" spans="1:11" ht="25.5" customHeight="1" x14ac:dyDescent="0.25">
      <c r="A10" s="9">
        <v>9</v>
      </c>
      <c r="B10" s="10" t="s">
        <v>46</v>
      </c>
      <c r="C10" s="11" t="s">
        <v>80</v>
      </c>
      <c r="D10" s="23" t="s">
        <v>151</v>
      </c>
      <c r="E10" s="10" t="s">
        <v>81</v>
      </c>
      <c r="F10" s="10" t="s">
        <v>82</v>
      </c>
      <c r="G10" s="9">
        <v>3</v>
      </c>
      <c r="H10" s="12" t="s">
        <v>50</v>
      </c>
      <c r="I10" s="10"/>
      <c r="J10" s="9" t="s">
        <v>51</v>
      </c>
      <c r="K10" s="10"/>
    </row>
    <row r="11" spans="1:11" ht="25.5" customHeight="1" x14ac:dyDescent="0.25">
      <c r="A11" s="13">
        <v>10</v>
      </c>
      <c r="B11" s="4" t="s">
        <v>83</v>
      </c>
      <c r="C11" s="3" t="s">
        <v>84</v>
      </c>
      <c r="D11" s="23" t="s">
        <v>151</v>
      </c>
      <c r="E11" s="4" t="s">
        <v>85</v>
      </c>
      <c r="F11" s="4" t="s">
        <v>86</v>
      </c>
      <c r="G11" s="13">
        <v>2</v>
      </c>
      <c r="H11" s="12" t="s">
        <v>50</v>
      </c>
      <c r="I11" s="4"/>
      <c r="J11" s="13" t="s">
        <v>51</v>
      </c>
      <c r="K11" s="4"/>
    </row>
    <row r="12" spans="1:11" ht="25.5" customHeight="1" x14ac:dyDescent="0.25">
      <c r="A12" s="9">
        <v>11</v>
      </c>
      <c r="B12" s="10" t="s">
        <v>83</v>
      </c>
      <c r="C12" s="11" t="s">
        <v>87</v>
      </c>
      <c r="D12" s="23" t="s">
        <v>151</v>
      </c>
      <c r="E12" s="10" t="s">
        <v>88</v>
      </c>
      <c r="F12" s="10" t="s">
        <v>89</v>
      </c>
      <c r="G12" s="9">
        <v>2</v>
      </c>
      <c r="H12" s="12" t="s">
        <v>50</v>
      </c>
      <c r="I12" s="10"/>
      <c r="J12" s="9" t="s">
        <v>51</v>
      </c>
      <c r="K12" s="10"/>
    </row>
    <row r="13" spans="1:11" ht="38.25" customHeight="1" x14ac:dyDescent="0.25">
      <c r="A13" s="13">
        <v>12</v>
      </c>
      <c r="B13" s="4" t="s">
        <v>90</v>
      </c>
      <c r="C13" s="3" t="s">
        <v>91</v>
      </c>
      <c r="D13" s="23" t="s">
        <v>151</v>
      </c>
      <c r="E13" s="4" t="s">
        <v>92</v>
      </c>
      <c r="F13" s="4" t="s">
        <v>93</v>
      </c>
      <c r="G13" s="13">
        <v>20</v>
      </c>
      <c r="H13" s="14" t="s">
        <v>73</v>
      </c>
      <c r="I13" s="4"/>
      <c r="J13" s="13" t="s">
        <v>56</v>
      </c>
      <c r="K13" s="4"/>
    </row>
    <row r="14" spans="1:11" ht="63.75" customHeight="1" x14ac:dyDescent="0.25">
      <c r="A14" s="9">
        <v>13</v>
      </c>
      <c r="B14" s="10" t="s">
        <v>90</v>
      </c>
      <c r="C14" s="11" t="s">
        <v>94</v>
      </c>
      <c r="D14" s="23" t="s">
        <v>151</v>
      </c>
      <c r="E14" s="10" t="s">
        <v>95</v>
      </c>
      <c r="F14" s="10" t="s">
        <v>96</v>
      </c>
      <c r="G14" s="9">
        <v>25</v>
      </c>
      <c r="H14" s="14" t="s">
        <v>97</v>
      </c>
      <c r="I14" s="10"/>
      <c r="J14" s="9" t="s">
        <v>51</v>
      </c>
      <c r="K14" s="10"/>
    </row>
    <row r="15" spans="1:11" ht="25.5" customHeight="1" x14ac:dyDescent="0.25">
      <c r="A15" s="13">
        <v>14</v>
      </c>
      <c r="B15" s="4" t="s">
        <v>90</v>
      </c>
      <c r="C15" s="3" t="s">
        <v>98</v>
      </c>
      <c r="D15" s="23" t="s">
        <v>151</v>
      </c>
      <c r="E15" s="4" t="s">
        <v>99</v>
      </c>
      <c r="F15" s="4" t="s">
        <v>100</v>
      </c>
      <c r="G15" s="13">
        <v>2</v>
      </c>
      <c r="H15" s="14" t="s">
        <v>73</v>
      </c>
      <c r="I15" s="4"/>
      <c r="J15" s="13" t="s">
        <v>56</v>
      </c>
      <c r="K15" s="4"/>
    </row>
    <row r="16" spans="1:11" ht="63.75" customHeight="1" x14ac:dyDescent="0.25">
      <c r="A16" s="9">
        <v>15</v>
      </c>
      <c r="B16" s="10" t="s">
        <v>83</v>
      </c>
      <c r="C16" s="11" t="s">
        <v>101</v>
      </c>
      <c r="D16" s="23" t="s">
        <v>151</v>
      </c>
      <c r="E16" s="10" t="s">
        <v>102</v>
      </c>
      <c r="F16" s="10" t="s">
        <v>103</v>
      </c>
      <c r="G16" s="9">
        <v>3</v>
      </c>
      <c r="H16" s="14" t="s">
        <v>50</v>
      </c>
      <c r="I16" s="10"/>
      <c r="J16" s="9" t="s">
        <v>51</v>
      </c>
      <c r="K16" s="10"/>
    </row>
    <row r="17" spans="2:11" x14ac:dyDescent="0.25">
      <c r="C17" s="15" t="s">
        <v>104</v>
      </c>
      <c r="D17" s="21"/>
      <c r="G17" s="15">
        <f>SUM(G2:G16)</f>
        <v>100</v>
      </c>
    </row>
    <row r="19" spans="2:11" ht="15.75" customHeight="1" x14ac:dyDescent="0.25">
      <c r="B19" s="24" t="s">
        <v>105</v>
      </c>
      <c r="C19" s="24"/>
      <c r="D19" s="24"/>
      <c r="E19" s="24"/>
    </row>
    <row r="20" spans="2:11" x14ac:dyDescent="0.25">
      <c r="B20" s="16" t="s">
        <v>106</v>
      </c>
      <c r="C20" s="16" t="s">
        <v>107</v>
      </c>
      <c r="D20" s="21"/>
    </row>
    <row r="21" spans="2:11" x14ac:dyDescent="0.25">
      <c r="B21" s="17" t="s">
        <v>50</v>
      </c>
      <c r="C21" s="17">
        <f>SUMIF($I$2:$I$16,B21,$G$2:$G$16)</f>
        <v>0</v>
      </c>
      <c r="D21" s="22"/>
    </row>
    <row r="22" spans="2:11" x14ac:dyDescent="0.25">
      <c r="B22" s="17" t="s">
        <v>73</v>
      </c>
      <c r="C22" s="17">
        <f>SUMIF($I$2:$I$16,B22,$G$2:$G$16)</f>
        <v>0</v>
      </c>
      <c r="D22" s="22"/>
    </row>
    <row r="23" spans="2:11" x14ac:dyDescent="0.25">
      <c r="B23" s="17" t="s">
        <v>55</v>
      </c>
      <c r="C23" s="17">
        <f>SUMIF($I$2:$I$16,B23,$G$2:$G$16)</f>
        <v>0</v>
      </c>
      <c r="D23" s="22"/>
    </row>
    <row r="24" spans="2:11" x14ac:dyDescent="0.25">
      <c r="B24" s="17" t="s">
        <v>64</v>
      </c>
      <c r="C24" s="17">
        <f>SUMIF($I$2:$I$16,B24,$G$2:$G$16)</f>
        <v>0</v>
      </c>
      <c r="D24" s="22"/>
    </row>
    <row r="25" spans="2:11" x14ac:dyDescent="0.25">
      <c r="B25" s="17" t="s">
        <v>108</v>
      </c>
      <c r="C25" s="17">
        <f>SUM(G2:G16)-SUM(C21:C24)</f>
        <v>100</v>
      </c>
      <c r="D25" s="22"/>
    </row>
    <row r="27" spans="2:11" x14ac:dyDescent="0.25">
      <c r="B27" s="25" t="s">
        <v>109</v>
      </c>
      <c r="C27" s="25"/>
      <c r="D27" s="25"/>
      <c r="E27" s="25"/>
      <c r="F27" s="25"/>
      <c r="G27" s="25"/>
      <c r="H27" s="25"/>
      <c r="I27" s="25"/>
      <c r="J27" s="25"/>
      <c r="K27" s="25"/>
    </row>
  </sheetData>
  <autoFilter ref="A1:K17" xr:uid="{00000000-0009-0000-0000-000001000000}"/>
  <mergeCells count="2">
    <mergeCell ref="B19:E19"/>
    <mergeCell ref="B27:K27"/>
  </mergeCells>
  <dataValidations count="2">
    <dataValidation type="list" allowBlank="1" sqref="I2:I16" xr:uid="{00000000-0002-0000-0100-000000000000}">
      <formula1>"Waleed Mirza,Anirudh Mamidi,Sathvika Potluri,Asritha Thati"</formula1>
      <formula2>0</formula2>
    </dataValidation>
    <dataValidation type="list" allowBlank="1" sqref="J2:J16" xr:uid="{00000000-0002-0000-0100-000001000000}">
      <formula1>"Not Started,In Progress,Blocked,Done"</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5"/>
  <sheetViews>
    <sheetView showGridLines="0" zoomScaleNormal="100" workbookViewId="0">
      <pane ySplit="1" topLeftCell="A2" activePane="bottomLeft" state="frozen"/>
      <selection pane="bottomLeft" activeCell="E24" sqref="E24"/>
    </sheetView>
  </sheetViews>
  <sheetFormatPr defaultColWidth="8.7109375" defaultRowHeight="15" x14ac:dyDescent="0.25"/>
  <cols>
    <col min="1" max="1" width="4" customWidth="1"/>
    <col min="2" max="2" width="16" customWidth="1"/>
    <col min="3" max="3" width="48" customWidth="1"/>
    <col min="4" max="4" width="30" customWidth="1"/>
    <col min="5" max="5" width="22" customWidth="1"/>
    <col min="6" max="6" width="20" customWidth="1"/>
    <col min="7" max="8" width="14" customWidth="1"/>
    <col min="9" max="9" width="26" customWidth="1"/>
  </cols>
  <sheetData>
    <row r="1" spans="1:9" x14ac:dyDescent="0.25">
      <c r="A1" s="8" t="s">
        <v>36</v>
      </c>
      <c r="B1" s="8" t="s">
        <v>110</v>
      </c>
      <c r="C1" s="8" t="s">
        <v>111</v>
      </c>
      <c r="D1" s="8" t="s">
        <v>112</v>
      </c>
      <c r="E1" s="8" t="s">
        <v>42</v>
      </c>
      <c r="F1" s="8" t="s">
        <v>43</v>
      </c>
      <c r="G1" s="8" t="s">
        <v>44</v>
      </c>
      <c r="H1" s="8" t="s">
        <v>113</v>
      </c>
      <c r="I1" s="8" t="s">
        <v>45</v>
      </c>
    </row>
    <row r="2" spans="1:9" ht="25.5" customHeight="1" x14ac:dyDescent="0.25">
      <c r="A2" s="18">
        <v>1</v>
      </c>
      <c r="B2" s="19" t="s">
        <v>114</v>
      </c>
      <c r="C2" s="20" t="s">
        <v>115</v>
      </c>
      <c r="D2" s="20" t="s">
        <v>47</v>
      </c>
      <c r="E2" s="20" t="s">
        <v>50</v>
      </c>
      <c r="F2" s="20"/>
      <c r="G2" s="18" t="s">
        <v>51</v>
      </c>
      <c r="H2" s="18"/>
      <c r="I2" s="20"/>
    </row>
    <row r="3" spans="1:9" ht="25.5" customHeight="1" x14ac:dyDescent="0.25">
      <c r="A3" s="13">
        <v>2</v>
      </c>
      <c r="B3" s="3" t="s">
        <v>114</v>
      </c>
      <c r="C3" s="4" t="s">
        <v>116</v>
      </c>
      <c r="D3" s="4" t="s">
        <v>47</v>
      </c>
      <c r="E3" s="4" t="s">
        <v>50</v>
      </c>
      <c r="F3" s="4"/>
      <c r="G3" s="13" t="s">
        <v>51</v>
      </c>
      <c r="H3" s="13"/>
      <c r="I3" s="4"/>
    </row>
    <row r="4" spans="1:9" x14ac:dyDescent="0.25">
      <c r="A4" s="18">
        <v>3</v>
      </c>
      <c r="B4" s="19" t="s">
        <v>117</v>
      </c>
      <c r="C4" s="20" t="s">
        <v>118</v>
      </c>
      <c r="D4" s="20" t="s">
        <v>52</v>
      </c>
      <c r="E4" s="20" t="s">
        <v>55</v>
      </c>
      <c r="F4" s="20"/>
      <c r="G4" s="18" t="s">
        <v>56</v>
      </c>
      <c r="H4" s="18"/>
      <c r="I4" s="20"/>
    </row>
    <row r="5" spans="1:9" x14ac:dyDescent="0.25">
      <c r="A5" s="13">
        <v>4</v>
      </c>
      <c r="B5" s="3" t="s">
        <v>117</v>
      </c>
      <c r="C5" s="4" t="s">
        <v>119</v>
      </c>
      <c r="D5" s="4" t="s">
        <v>52</v>
      </c>
      <c r="E5" s="4" t="s">
        <v>55</v>
      </c>
      <c r="F5" s="4"/>
      <c r="G5" s="13" t="s">
        <v>51</v>
      </c>
      <c r="H5" s="13"/>
      <c r="I5" s="4"/>
    </row>
    <row r="6" spans="1:9" x14ac:dyDescent="0.25">
      <c r="A6" s="18">
        <v>5</v>
      </c>
      <c r="B6" s="19" t="s">
        <v>117</v>
      </c>
      <c r="C6" s="20" t="s">
        <v>120</v>
      </c>
      <c r="D6" s="20" t="s">
        <v>52</v>
      </c>
      <c r="E6" s="20" t="s">
        <v>55</v>
      </c>
      <c r="F6" s="20"/>
      <c r="G6" s="18" t="s">
        <v>56</v>
      </c>
      <c r="H6" s="18"/>
      <c r="I6" s="20"/>
    </row>
    <row r="7" spans="1:9" ht="25.5" customHeight="1" x14ac:dyDescent="0.25">
      <c r="A7" s="13">
        <v>6</v>
      </c>
      <c r="B7" s="3" t="s">
        <v>121</v>
      </c>
      <c r="C7" s="4" t="s">
        <v>122</v>
      </c>
      <c r="D7" s="4" t="s">
        <v>123</v>
      </c>
      <c r="E7" s="4" t="s">
        <v>73</v>
      </c>
      <c r="F7" s="4"/>
      <c r="G7" s="13" t="s">
        <v>56</v>
      </c>
      <c r="H7" s="13"/>
      <c r="I7" s="4"/>
    </row>
    <row r="8" spans="1:9" ht="25.5" customHeight="1" x14ac:dyDescent="0.25">
      <c r="A8" s="18">
        <v>7</v>
      </c>
      <c r="B8" s="19" t="s">
        <v>121</v>
      </c>
      <c r="C8" s="20" t="s">
        <v>124</v>
      </c>
      <c r="D8" s="20" t="s">
        <v>123</v>
      </c>
      <c r="E8" s="20" t="s">
        <v>73</v>
      </c>
      <c r="F8" s="20"/>
      <c r="G8" s="18" t="s">
        <v>56</v>
      </c>
      <c r="H8" s="18"/>
      <c r="I8" s="20"/>
    </row>
    <row r="9" spans="1:9" ht="25.5" customHeight="1" x14ac:dyDescent="0.25">
      <c r="A9" s="13">
        <v>8</v>
      </c>
      <c r="B9" s="3" t="s">
        <v>121</v>
      </c>
      <c r="C9" s="4" t="s">
        <v>125</v>
      </c>
      <c r="D9" s="4" t="s">
        <v>94</v>
      </c>
      <c r="E9" s="4" t="s">
        <v>73</v>
      </c>
      <c r="F9" s="4"/>
      <c r="G9" s="13" t="s">
        <v>56</v>
      </c>
      <c r="H9" s="13"/>
      <c r="I9" s="4"/>
    </row>
    <row r="10" spans="1:9" ht="25.5" customHeight="1" x14ac:dyDescent="0.25">
      <c r="A10" s="18">
        <v>9</v>
      </c>
      <c r="B10" s="19" t="s">
        <v>121</v>
      </c>
      <c r="C10" s="20" t="s">
        <v>126</v>
      </c>
      <c r="D10" s="20" t="s">
        <v>98</v>
      </c>
      <c r="E10" s="20" t="s">
        <v>73</v>
      </c>
      <c r="F10" s="20"/>
      <c r="G10" s="18" t="s">
        <v>56</v>
      </c>
      <c r="H10" s="18"/>
      <c r="I10" s="20"/>
    </row>
    <row r="11" spans="1:9" ht="25.5" customHeight="1" x14ac:dyDescent="0.25">
      <c r="A11" s="13">
        <v>10</v>
      </c>
      <c r="B11" s="3" t="s">
        <v>127</v>
      </c>
      <c r="C11" s="4" t="s">
        <v>128</v>
      </c>
      <c r="D11" s="4" t="s">
        <v>123</v>
      </c>
      <c r="E11" s="4" t="s">
        <v>64</v>
      </c>
      <c r="F11" s="4"/>
      <c r="G11" s="13" t="s">
        <v>51</v>
      </c>
      <c r="H11" s="13"/>
      <c r="I11" s="4"/>
    </row>
    <row r="12" spans="1:9" ht="25.5" customHeight="1" x14ac:dyDescent="0.25">
      <c r="A12" s="18">
        <v>11</v>
      </c>
      <c r="B12" s="19" t="s">
        <v>127</v>
      </c>
      <c r="C12" s="20" t="s">
        <v>129</v>
      </c>
      <c r="D12" s="20" t="s">
        <v>94</v>
      </c>
      <c r="E12" s="20" t="s">
        <v>64</v>
      </c>
      <c r="F12" s="20"/>
      <c r="G12" s="18" t="s">
        <v>51</v>
      </c>
      <c r="H12" s="18"/>
      <c r="I12" s="20"/>
    </row>
    <row r="13" spans="1:9" x14ac:dyDescent="0.25">
      <c r="A13" s="13">
        <v>12</v>
      </c>
      <c r="B13" s="3" t="s">
        <v>130</v>
      </c>
      <c r="C13" s="4" t="s">
        <v>131</v>
      </c>
      <c r="D13" s="4" t="s">
        <v>61</v>
      </c>
      <c r="E13" s="4" t="s">
        <v>64</v>
      </c>
      <c r="F13" s="4"/>
      <c r="G13" s="13" t="s">
        <v>56</v>
      </c>
      <c r="H13" s="13"/>
      <c r="I13" s="4"/>
    </row>
    <row r="14" spans="1:9" x14ac:dyDescent="0.25">
      <c r="A14" s="18">
        <v>13</v>
      </c>
      <c r="B14" s="19" t="s">
        <v>130</v>
      </c>
      <c r="C14" s="20" t="s">
        <v>132</v>
      </c>
      <c r="D14" s="20" t="s">
        <v>61</v>
      </c>
      <c r="E14" s="20" t="s">
        <v>64</v>
      </c>
      <c r="F14" s="20"/>
      <c r="G14" s="18" t="s">
        <v>56</v>
      </c>
      <c r="H14" s="18"/>
      <c r="I14" s="20"/>
    </row>
    <row r="15" spans="1:9" ht="25.5" customHeight="1" x14ac:dyDescent="0.25">
      <c r="A15" s="13">
        <v>14</v>
      </c>
      <c r="B15" s="3" t="s">
        <v>130</v>
      </c>
      <c r="C15" s="4" t="s">
        <v>133</v>
      </c>
      <c r="D15" s="4" t="s">
        <v>61</v>
      </c>
      <c r="E15" s="4" t="s">
        <v>64</v>
      </c>
      <c r="F15" s="4"/>
      <c r="G15" s="13" t="s">
        <v>56</v>
      </c>
      <c r="H15" s="13"/>
      <c r="I15" s="4"/>
    </row>
    <row r="16" spans="1:9" ht="25.5" customHeight="1" x14ac:dyDescent="0.25">
      <c r="A16" s="18">
        <v>15</v>
      </c>
      <c r="B16" s="19" t="s">
        <v>134</v>
      </c>
      <c r="C16" s="20" t="s">
        <v>135</v>
      </c>
      <c r="D16" s="20" t="s">
        <v>66</v>
      </c>
      <c r="E16" s="20" t="s">
        <v>55</v>
      </c>
      <c r="F16" s="20"/>
      <c r="G16" s="18" t="s">
        <v>56</v>
      </c>
      <c r="H16" s="18"/>
      <c r="I16" s="20"/>
    </row>
    <row r="17" spans="1:9" x14ac:dyDescent="0.25">
      <c r="A17" s="13">
        <v>16</v>
      </c>
      <c r="B17" s="3" t="s">
        <v>134</v>
      </c>
      <c r="C17" s="4" t="s">
        <v>136</v>
      </c>
      <c r="D17" s="4" t="s">
        <v>70</v>
      </c>
      <c r="E17" s="4" t="s">
        <v>73</v>
      </c>
      <c r="F17" s="4"/>
      <c r="G17" s="13" t="s">
        <v>51</v>
      </c>
      <c r="H17" s="13"/>
      <c r="I17" s="4"/>
    </row>
    <row r="18" spans="1:9" x14ac:dyDescent="0.25">
      <c r="A18" s="18">
        <v>17</v>
      </c>
      <c r="B18" s="19" t="s">
        <v>134</v>
      </c>
      <c r="C18" s="20" t="s">
        <v>137</v>
      </c>
      <c r="D18" s="20" t="s">
        <v>84</v>
      </c>
      <c r="E18" s="20" t="s">
        <v>50</v>
      </c>
      <c r="F18" s="20"/>
      <c r="G18" s="18" t="s">
        <v>51</v>
      </c>
      <c r="H18" s="18"/>
      <c r="I18" s="20"/>
    </row>
    <row r="19" spans="1:9" ht="25.5" customHeight="1" x14ac:dyDescent="0.25">
      <c r="A19" s="13">
        <v>18</v>
      </c>
      <c r="B19" s="3" t="s">
        <v>138</v>
      </c>
      <c r="C19" s="4" t="s">
        <v>139</v>
      </c>
      <c r="D19" s="4" t="s">
        <v>58</v>
      </c>
      <c r="E19" s="20" t="s">
        <v>50</v>
      </c>
      <c r="F19" s="4"/>
      <c r="G19" s="13" t="s">
        <v>51</v>
      </c>
      <c r="H19" s="13"/>
      <c r="I19" s="4"/>
    </row>
    <row r="20" spans="1:9" ht="25.5" customHeight="1" x14ac:dyDescent="0.25">
      <c r="A20" s="18">
        <v>19</v>
      </c>
      <c r="B20" s="19" t="s">
        <v>140</v>
      </c>
      <c r="C20" s="20" t="s">
        <v>141</v>
      </c>
      <c r="D20" s="20" t="s">
        <v>74</v>
      </c>
      <c r="E20" s="20" t="s">
        <v>50</v>
      </c>
      <c r="F20" s="20"/>
      <c r="G20" s="18" t="s">
        <v>51</v>
      </c>
      <c r="H20" s="18"/>
      <c r="I20" s="20"/>
    </row>
    <row r="21" spans="1:9" x14ac:dyDescent="0.25">
      <c r="A21" s="13">
        <v>20</v>
      </c>
      <c r="B21" s="3" t="s">
        <v>142</v>
      </c>
      <c r="C21" s="4" t="s">
        <v>143</v>
      </c>
      <c r="D21" s="4" t="s">
        <v>77</v>
      </c>
      <c r="E21" s="4" t="s">
        <v>50</v>
      </c>
      <c r="F21" s="4"/>
      <c r="G21" s="13" t="s">
        <v>51</v>
      </c>
      <c r="H21" s="13"/>
      <c r="I21" s="4"/>
    </row>
    <row r="22" spans="1:9" x14ac:dyDescent="0.25">
      <c r="A22" s="18">
        <v>21</v>
      </c>
      <c r="B22" s="19" t="s">
        <v>142</v>
      </c>
      <c r="C22" s="20" t="s">
        <v>144</v>
      </c>
      <c r="D22" s="20" t="s">
        <v>80</v>
      </c>
      <c r="E22" s="20" t="s">
        <v>50</v>
      </c>
      <c r="F22" s="20"/>
      <c r="G22" s="18" t="s">
        <v>51</v>
      </c>
      <c r="H22" s="18"/>
      <c r="I22" s="20"/>
    </row>
    <row r="23" spans="1:9" ht="25.5" customHeight="1" x14ac:dyDescent="0.25">
      <c r="A23" s="13">
        <v>22</v>
      </c>
      <c r="B23" s="3" t="s">
        <v>142</v>
      </c>
      <c r="C23" s="4" t="s">
        <v>145</v>
      </c>
      <c r="D23" s="4" t="s">
        <v>101</v>
      </c>
      <c r="E23" s="4" t="s">
        <v>146</v>
      </c>
      <c r="F23" s="4"/>
      <c r="G23" s="13" t="s">
        <v>51</v>
      </c>
      <c r="H23" s="13"/>
      <c r="I23" s="4"/>
    </row>
    <row r="24" spans="1:9" x14ac:dyDescent="0.25">
      <c r="A24" s="18">
        <v>23</v>
      </c>
      <c r="B24" s="19" t="s">
        <v>142</v>
      </c>
      <c r="C24" s="20" t="s">
        <v>147</v>
      </c>
      <c r="D24" s="20" t="s">
        <v>87</v>
      </c>
      <c r="E24" s="20" t="s">
        <v>50</v>
      </c>
      <c r="F24" s="20"/>
      <c r="G24" s="18" t="s">
        <v>51</v>
      </c>
      <c r="H24" s="18"/>
      <c r="I24" s="20"/>
    </row>
    <row r="25" spans="1:9" ht="25.5" customHeight="1" x14ac:dyDescent="0.25">
      <c r="A25" s="13">
        <v>24</v>
      </c>
      <c r="B25" s="3" t="s">
        <v>142</v>
      </c>
      <c r="C25" s="4" t="s">
        <v>148</v>
      </c>
      <c r="D25" s="4" t="s">
        <v>149</v>
      </c>
      <c r="E25" s="4" t="s">
        <v>50</v>
      </c>
      <c r="F25" s="4"/>
      <c r="G25" s="13" t="s">
        <v>51</v>
      </c>
      <c r="H25" s="13"/>
      <c r="I25" s="4"/>
    </row>
  </sheetData>
  <dataValidations count="2">
    <dataValidation type="list" allowBlank="1" sqref="F2:F25" xr:uid="{00000000-0002-0000-0200-000000000000}">
      <formula1>"Waleed Mirza,Anirudh Mamidi,Sathvika Potluri,Asritha Thati,Whole Team (Waleed compiles)"</formula1>
      <formula2>0</formula2>
    </dataValidation>
    <dataValidation type="list" allowBlank="1" sqref="G2:G25" xr:uid="{00000000-0002-0000-0200-000001000000}">
      <formula1>"Not Started,In Progress,Blocked,Done"</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Overview</vt:lpstr>
      <vt:lpstr>Rubric Checklist</vt:lpstr>
      <vt:lpstr>Work Assignment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Waleed Mirza</cp:lastModifiedBy>
  <cp:revision>0</cp:revision>
  <dcterms:created xsi:type="dcterms:W3CDTF">2026-09-30T21:22:03Z</dcterms:created>
  <dcterms:modified xsi:type="dcterms:W3CDTF">2026-10-18T04:34:29Z</dcterms:modified>
  <dc:language>en-US</dc:language>
</cp:coreProperties>
</file>